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ata\Users\33321\Desktop\"/>
    </mc:Choice>
  </mc:AlternateContent>
  <xr:revisionPtr revIDLastSave="0" documentId="13_ncr:1_{6922355D-91D3-4A0F-A76C-44EBD061635C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C21" i="1"/>
  <c r="C22" i="1"/>
  <c r="C19" i="1"/>
  <c r="C20" i="1"/>
  <c r="C24" i="1"/>
  <c r="C12" i="1"/>
  <c r="C4" i="1"/>
  <c r="C15" i="1" s="1"/>
  <c r="B15" i="1" s="1"/>
  <c r="C10" i="1"/>
  <c r="C32" i="1"/>
  <c r="C17" i="1"/>
  <c r="C7" i="1"/>
  <c r="C14" i="1" s="1"/>
  <c r="B14" i="1" s="1"/>
  <c r="C6" i="1"/>
  <c r="C5" i="1"/>
  <c r="C8" i="1"/>
  <c r="C11" i="1" l="1"/>
  <c r="C29" i="1"/>
  <c r="B29" i="1" s="1"/>
  <c r="B19" i="1"/>
  <c r="C13" i="1"/>
  <c r="B13" i="1" s="1"/>
  <c r="C25" i="1"/>
  <c r="C30" i="1"/>
  <c r="B30" i="1" s="1"/>
  <c r="C33" i="1"/>
  <c r="B33" i="1" s="1"/>
  <c r="B11" i="1"/>
  <c r="B21" i="1"/>
  <c r="C26" i="1" l="1"/>
  <c r="B26" i="1" s="1"/>
  <c r="B20" i="1"/>
  <c r="B22" i="1"/>
  <c r="B25" i="1"/>
  <c r="C27" i="1" l="1"/>
  <c r="B27" i="1" s="1"/>
  <c r="C28" i="1" l="1"/>
  <c r="B28" i="1" s="1"/>
</calcChain>
</file>

<file path=xl/sharedStrings.xml><?xml version="1.0" encoding="utf-8"?>
<sst xmlns="http://schemas.openxmlformats.org/spreadsheetml/2006/main" count="36" uniqueCount="33">
  <si>
    <t>输出电压V(OUT)/V</t>
    <phoneticPr fontId="1" type="noConversion"/>
  </si>
  <si>
    <t>输入电压V(INMAX)/V</t>
    <phoneticPr fontId="1" type="noConversion"/>
  </si>
  <si>
    <t>串联等效电阻ESR(MAX)/毫欧</t>
    <phoneticPr fontId="1" type="noConversion"/>
  </si>
  <si>
    <t>输出电压纹波V(ppMAX)/mV</t>
    <phoneticPr fontId="1" type="noConversion"/>
  </si>
  <si>
    <t>输出电流纹波I(COUTRMS)/mA</t>
    <phoneticPr fontId="1" type="noConversion"/>
  </si>
  <si>
    <t>闭环交叉频率f(CO)/KHz</t>
    <phoneticPr fontId="1" type="noConversion"/>
  </si>
  <si>
    <t>输出电容C(OUT)/uF</t>
    <phoneticPr fontId="1" type="noConversion"/>
  </si>
  <si>
    <t>工作频率f(sw)/KHz</t>
    <phoneticPr fontId="1" type="noConversion"/>
  </si>
  <si>
    <t>最大输出电压纹波deltaV(OUT)/mV</t>
    <phoneticPr fontId="1" type="noConversion"/>
  </si>
  <si>
    <t>输入纹波电压deltaV(IN)/mV</t>
    <phoneticPr fontId="1" type="noConversion"/>
  </si>
  <si>
    <t>计算值(统一单位)</t>
    <phoneticPr fontId="1" type="noConversion"/>
  </si>
  <si>
    <t>10.8-19.8</t>
    <phoneticPr fontId="1" type="noConversion"/>
  </si>
  <si>
    <t>去耦电容C(1)/uF</t>
    <phoneticPr fontId="1" type="noConversion"/>
  </si>
  <si>
    <t>设计指标</t>
    <phoneticPr fontId="1" type="noConversion"/>
  </si>
  <si>
    <t>输出电流额定值I(OUTMAX)/A</t>
    <phoneticPr fontId="1" type="noConversion"/>
  </si>
  <si>
    <t>电容额定电压V(C1MAX)/V</t>
    <phoneticPr fontId="1" type="noConversion"/>
  </si>
  <si>
    <t>输入容C(IN)</t>
    <phoneticPr fontId="1" type="noConversion"/>
  </si>
  <si>
    <t>最小电感L(MIN)/uH</t>
    <phoneticPr fontId="1" type="noConversion"/>
  </si>
  <si>
    <t>K(IND)</t>
    <phoneticPr fontId="1" type="noConversion"/>
  </si>
  <si>
    <t>0.2-0.3</t>
    <phoneticPr fontId="1" type="noConversion"/>
  </si>
  <si>
    <t>电感饱和电流I(LRMS)/A</t>
    <phoneticPr fontId="1" type="noConversion"/>
  </si>
  <si>
    <t>峰值电感电流I(LPK)/A</t>
    <phoneticPr fontId="1" type="noConversion"/>
  </si>
  <si>
    <t>电感L(OUT)/uH</t>
    <phoneticPr fontId="1" type="noConversion"/>
  </si>
  <si>
    <t>电感纹波电流deltaI(L)/mA</t>
    <phoneticPr fontId="1" type="noConversion"/>
  </si>
  <si>
    <t>谐振频率f(LC)/KHz</t>
    <phoneticPr fontId="1" type="noConversion"/>
  </si>
  <si>
    <t>R1/千欧</t>
    <phoneticPr fontId="1" type="noConversion"/>
  </si>
  <si>
    <t>R2/千欧</t>
    <phoneticPr fontId="1" type="noConversion"/>
  </si>
  <si>
    <t>电容额定电压V（C2MAX)/V</t>
    <phoneticPr fontId="1" type="noConversion"/>
  </si>
  <si>
    <t>BUCK电路</t>
    <phoneticPr fontId="1" type="noConversion"/>
  </si>
  <si>
    <t>ESR(C1MAX)/毫欧</t>
    <phoneticPr fontId="1" type="noConversion"/>
  </si>
  <si>
    <r>
      <t>输入纹波电流I(</t>
    </r>
    <r>
      <rPr>
        <sz val="11"/>
        <color theme="1"/>
        <rFont val="等线"/>
        <family val="3"/>
        <charset val="134"/>
        <scheme val="minor"/>
      </rPr>
      <t>EMS</t>
    </r>
    <r>
      <rPr>
        <b/>
        <sz val="11"/>
        <color theme="1"/>
        <rFont val="等线"/>
        <family val="3"/>
        <charset val="134"/>
        <scheme val="minor"/>
      </rPr>
      <t>MAX)=I(CIN)/mA</t>
    </r>
    <phoneticPr fontId="1" type="noConversion"/>
  </si>
  <si>
    <t>LDO</t>
    <phoneticPr fontId="1" type="noConversion"/>
  </si>
  <si>
    <t>V(OUT)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</si>
</sst>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5" xfId="0" applyNumberFormat="1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0" fontId="2" fillId="0" borderId="0" xfId="0" applyFont="1"/>
    <xf numFmtId="176" fontId="2" fillId="0" borderId="0" xfId="0" applyNumberFormat="1" applyFont="1"/>
    <xf numFmtId="11" fontId="2" fillId="0" borderId="0" xfId="0" applyNumberFormat="1" applyFont="1"/>
    <xf numFmtId="177" fontId="2" fillId="0" borderId="0" xfId="0" applyNumberFormat="1" applyFont="1"/>
    <xf numFmtId="0" fontId="0" fillId="0" borderId="7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549719</xdr:colOff>
      <xdr:row>20</xdr:row>
      <xdr:rowOff>22669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E8C8094-3E11-B0FC-4B3C-93DCE7D0461C}"/>
            </a:ext>
          </a:extLst>
        </xdr:cNvPr>
        <xdr:cNvSpPr txBox="1"/>
      </xdr:nvSpPr>
      <xdr:spPr>
        <a:xfrm>
          <a:off x="6493319" y="357866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115" zoomScaleNormal="115" workbookViewId="0">
      <selection activeCell="E6" sqref="E6"/>
    </sheetView>
  </sheetViews>
  <sheetFormatPr defaultRowHeight="14" x14ac:dyDescent="0.3"/>
  <cols>
    <col min="1" max="1" width="28.4140625" customWidth="1"/>
    <col min="2" max="2" width="10.1640625" customWidth="1"/>
    <col min="3" max="3" width="14.83203125" customWidth="1"/>
    <col min="5" max="5" width="12.5" bestFit="1" customWidth="1"/>
  </cols>
  <sheetData>
    <row r="1" spans="1:6" ht="14.5" thickBot="1" x14ac:dyDescent="0.35">
      <c r="A1" s="16" t="s">
        <v>28</v>
      </c>
      <c r="B1" s="16"/>
      <c r="C1" s="16"/>
      <c r="E1" t="s">
        <v>31</v>
      </c>
    </row>
    <row r="2" spans="1:6" x14ac:dyDescent="0.3">
      <c r="A2" s="4" t="s">
        <v>13</v>
      </c>
      <c r="B2" s="5"/>
      <c r="C2" s="6" t="s">
        <v>10</v>
      </c>
      <c r="E2" t="s">
        <v>32</v>
      </c>
      <c r="F2">
        <v>5</v>
      </c>
    </row>
    <row r="3" spans="1:6" x14ac:dyDescent="0.3">
      <c r="A3" s="7" t="s">
        <v>1</v>
      </c>
      <c r="B3" t="s">
        <v>11</v>
      </c>
      <c r="C3" s="8">
        <v>12</v>
      </c>
    </row>
    <row r="4" spans="1:6" x14ac:dyDescent="0.3">
      <c r="A4" s="7" t="s">
        <v>9</v>
      </c>
      <c r="B4">
        <v>300</v>
      </c>
      <c r="C4" s="8">
        <f>B4*10^(-3)</f>
        <v>0.3</v>
      </c>
      <c r="E4" t="s">
        <v>25</v>
      </c>
      <c r="F4">
        <f>F5*(F2/1.24-1)</f>
        <v>66.709677419354833</v>
      </c>
    </row>
    <row r="5" spans="1:6" x14ac:dyDescent="0.3">
      <c r="A5" s="7" t="s">
        <v>0</v>
      </c>
      <c r="B5">
        <v>5</v>
      </c>
      <c r="C5" s="8">
        <f>B5</f>
        <v>5</v>
      </c>
      <c r="E5" t="s">
        <v>26</v>
      </c>
      <c r="F5">
        <v>22</v>
      </c>
    </row>
    <row r="6" spans="1:6" x14ac:dyDescent="0.3">
      <c r="A6" s="7" t="s">
        <v>8</v>
      </c>
      <c r="B6">
        <v>30</v>
      </c>
      <c r="C6" s="8">
        <f>B6*10^(-3)</f>
        <v>0.03</v>
      </c>
    </row>
    <row r="7" spans="1:6" x14ac:dyDescent="0.3">
      <c r="A7" s="7" t="s">
        <v>14</v>
      </c>
      <c r="B7">
        <v>3</v>
      </c>
      <c r="C7" s="8">
        <f>B7</f>
        <v>3</v>
      </c>
    </row>
    <row r="8" spans="1:6" ht="14.5" thickBot="1" x14ac:dyDescent="0.35">
      <c r="A8" s="9" t="s">
        <v>7</v>
      </c>
      <c r="B8" s="10">
        <v>500</v>
      </c>
      <c r="C8" s="11">
        <f>B8*10^3</f>
        <v>500000</v>
      </c>
    </row>
    <row r="9" spans="1:6" x14ac:dyDescent="0.3">
      <c r="C9" s="1"/>
    </row>
    <row r="10" spans="1:6" x14ac:dyDescent="0.3">
      <c r="A10" s="12" t="s">
        <v>12</v>
      </c>
      <c r="B10" s="13">
        <v>100</v>
      </c>
      <c r="C10" s="14">
        <f>B10*10^(-6)</f>
        <v>9.9999999999999991E-5</v>
      </c>
    </row>
    <row r="11" spans="1:6" x14ac:dyDescent="0.3">
      <c r="A11" t="s">
        <v>16</v>
      </c>
      <c r="B11" s="2">
        <f>C11*10^(6)</f>
        <v>8.3333333333333339</v>
      </c>
      <c r="C11" s="1">
        <f>(C7*0.25)/((C4-(C7*B12*10^(-3)))*C8)</f>
        <v>8.3333333333333337E-6</v>
      </c>
    </row>
    <row r="12" spans="1:6" x14ac:dyDescent="0.3">
      <c r="A12" t="s">
        <v>29</v>
      </c>
      <c r="B12">
        <v>40</v>
      </c>
      <c r="C12" s="1">
        <f>B12*10^(-3)</f>
        <v>0.04</v>
      </c>
    </row>
    <row r="13" spans="1:6" x14ac:dyDescent="0.3">
      <c r="A13" t="s">
        <v>9</v>
      </c>
      <c r="B13" s="2">
        <f>C13*10^(3)</f>
        <v>135</v>
      </c>
      <c r="C13" s="1">
        <f>(C7*0.25)/(C10*C8)+C7*C12</f>
        <v>0.13500000000000001</v>
      </c>
    </row>
    <row r="14" spans="1:6" x14ac:dyDescent="0.3">
      <c r="A14" s="12" t="s">
        <v>30</v>
      </c>
      <c r="B14" s="12">
        <f>C14*1000</f>
        <v>1500</v>
      </c>
      <c r="C14" s="14">
        <f>C7/2</f>
        <v>1.5</v>
      </c>
    </row>
    <row r="15" spans="1:6" x14ac:dyDescent="0.3">
      <c r="A15" s="12" t="s">
        <v>15</v>
      </c>
      <c r="B15" s="13">
        <f>C15</f>
        <v>12.15</v>
      </c>
      <c r="C15" s="14">
        <f>C3+C4/2</f>
        <v>12.15</v>
      </c>
    </row>
    <row r="17" spans="1:4" x14ac:dyDescent="0.3">
      <c r="A17" s="12" t="s">
        <v>22</v>
      </c>
      <c r="B17" s="12">
        <v>22</v>
      </c>
      <c r="C17" s="14">
        <f>B17*10^(-6)</f>
        <v>2.1999999999999999E-5</v>
      </c>
    </row>
    <row r="18" spans="1:4" x14ac:dyDescent="0.3">
      <c r="A18" t="s">
        <v>18</v>
      </c>
      <c r="B18" t="s">
        <v>19</v>
      </c>
      <c r="C18">
        <v>0.3</v>
      </c>
    </row>
    <row r="19" spans="1:4" x14ac:dyDescent="0.3">
      <c r="A19" t="s">
        <v>17</v>
      </c>
      <c r="B19" s="2">
        <f>C19*10^(6)</f>
        <v>6.4814814814814827</v>
      </c>
      <c r="C19" s="1">
        <f>C5*(C3-C5)/(C3*C18*C7*C8)</f>
        <v>6.4814814814814829E-6</v>
      </c>
    </row>
    <row r="20" spans="1:4" x14ac:dyDescent="0.3">
      <c r="A20" t="s">
        <v>23</v>
      </c>
      <c r="B20" s="2">
        <f>C20*1000</f>
        <v>265.15151515151513</v>
      </c>
      <c r="C20" s="1">
        <f>(C5*(C3-C5))/(C3*C17*C8)</f>
        <v>0.26515151515151514</v>
      </c>
      <c r="D20" s="2"/>
    </row>
    <row r="21" spans="1:4" x14ac:dyDescent="0.3">
      <c r="A21" s="12" t="s">
        <v>20</v>
      </c>
      <c r="B21" s="13">
        <f>C21</f>
        <v>3.0015253354455034</v>
      </c>
      <c r="C21" s="14">
        <f>((C7)^2+((C20/0.8)^2)/12)^(1/2)</f>
        <v>3.0015253354455034</v>
      </c>
    </row>
    <row r="22" spans="1:4" x14ac:dyDescent="0.3">
      <c r="A22" s="12" t="s">
        <v>21</v>
      </c>
      <c r="B22" s="13">
        <f>C22</f>
        <v>3.1657196969696968</v>
      </c>
      <c r="C22" s="14">
        <f>C7+C20*1000/(2*1000*0.8)</f>
        <v>3.1657196969696968</v>
      </c>
    </row>
    <row r="24" spans="1:4" x14ac:dyDescent="0.3">
      <c r="A24" s="12" t="s">
        <v>6</v>
      </c>
      <c r="B24" s="15">
        <v>100</v>
      </c>
      <c r="C24" s="14">
        <f>B24*10^(-6)</f>
        <v>9.9999999999999991E-5</v>
      </c>
    </row>
    <row r="25" spans="1:4" x14ac:dyDescent="0.3">
      <c r="A25" t="s">
        <v>24</v>
      </c>
      <c r="B25" s="3">
        <f>C25</f>
        <v>3393.1947878728502</v>
      </c>
      <c r="C25" s="1">
        <f>1/(2*PI()*((C24*C17)^(1/2)))</f>
        <v>3393.1947878728502</v>
      </c>
    </row>
    <row r="26" spans="1:4" x14ac:dyDescent="0.3">
      <c r="A26" t="s">
        <v>5</v>
      </c>
      <c r="B26" s="2">
        <f>C26*10^(-3)</f>
        <v>27.091225572817592</v>
      </c>
      <c r="C26" s="1">
        <f>(C25^2)/(85*C5)</f>
        <v>27091.225572817591</v>
      </c>
    </row>
    <row r="27" spans="1:4" x14ac:dyDescent="0.3">
      <c r="A27" t="s">
        <v>2</v>
      </c>
      <c r="B27" s="2">
        <f>C27*10^3</f>
        <v>58.747782622129115</v>
      </c>
      <c r="C27" s="1">
        <f>1/(2*PI()*C24*C26)</f>
        <v>5.8747782622129117E-2</v>
      </c>
    </row>
    <row r="28" spans="1:4" x14ac:dyDescent="0.3">
      <c r="A28" t="s">
        <v>3</v>
      </c>
      <c r="B28" s="2">
        <f>C28*10^3</f>
        <v>15.577063574049388</v>
      </c>
      <c r="C28" s="1">
        <f>(C27*C5*(C3-C5))/(1*C3*C17*C8)</f>
        <v>1.5577063574049388E-2</v>
      </c>
    </row>
    <row r="29" spans="1:4" x14ac:dyDescent="0.3">
      <c r="A29" s="12" t="s">
        <v>4</v>
      </c>
      <c r="B29" s="13">
        <f>C29*10^3</f>
        <v>76.542649324382211</v>
      </c>
      <c r="C29" s="14">
        <f>(1/((12)^(1/2)))*((C5*(C3-C5))/(C3*C17*C8*1))</f>
        <v>7.6542649324382206E-2</v>
      </c>
    </row>
    <row r="30" spans="1:4" x14ac:dyDescent="0.3">
      <c r="A30" s="12" t="s">
        <v>27</v>
      </c>
      <c r="B30" s="13">
        <f>C30</f>
        <v>5.0149999999999997</v>
      </c>
      <c r="C30" s="14">
        <f>C5+C6/2</f>
        <v>5.0149999999999997</v>
      </c>
    </row>
    <row r="32" spans="1:4" x14ac:dyDescent="0.3">
      <c r="A32" s="12" t="s">
        <v>25</v>
      </c>
      <c r="B32" s="12">
        <v>10</v>
      </c>
      <c r="C32" s="14">
        <f>B32*1000</f>
        <v>10000</v>
      </c>
    </row>
    <row r="33" spans="1:3" x14ac:dyDescent="0.3">
      <c r="A33" s="12" t="s">
        <v>26</v>
      </c>
      <c r="B33" s="13">
        <f>C33/1000</f>
        <v>3.2310134956337655</v>
      </c>
      <c r="C33" s="14">
        <f>(C32*1.221)/(C5-1.221)</f>
        <v>3231.0134956337656</v>
      </c>
    </row>
  </sheetData>
  <mergeCells count="1">
    <mergeCell ref="A1:C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sensce D</dc:creator>
  <cp:lastModifiedBy>Sensce</cp:lastModifiedBy>
  <dcterms:created xsi:type="dcterms:W3CDTF">2015-06-05T18:19:34Z</dcterms:created>
  <dcterms:modified xsi:type="dcterms:W3CDTF">2026-06-09T08:22:29Z</dcterms:modified>
</cp:coreProperties>
</file>