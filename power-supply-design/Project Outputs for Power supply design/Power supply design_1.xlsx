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\Altium Designer24\project\Power supply design\Project Outputs for Power supply design\"/>
    </mc:Choice>
  </mc:AlternateContent>
  <xr:revisionPtr revIDLastSave="0" documentId="13_ncr:1_{C577938C-5343-4744-88DD-F7F31DE69C01}" xr6:coauthVersionLast="47" xr6:coauthVersionMax="47" xr10:uidLastSave="{00000000-0000-0000-0000-000000000000}"/>
  <bookViews>
    <workbookView xWindow="2810" yWindow="1310" windowWidth="16200" windowHeight="11910" xr2:uid="{0D9848B4-C1B4-473E-BFEE-7EE9F6F0FA92}"/>
  </bookViews>
  <sheets>
    <sheet name="Power supply design_1" sheetId="1" r:id="rId1"/>
  </sheets>
  <definedNames>
    <definedName name="_xlnm.Print_Titles" localSheetId="0">'Power supply design_1'!$1:$1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I32" i="1"/>
  <c r="I31" i="1"/>
  <c r="I30" i="1"/>
  <c r="I20" i="1"/>
  <c r="I33" i="1" l="1"/>
</calcChain>
</file>

<file path=xl/sharedStrings.xml><?xml version="1.0" encoding="utf-8"?>
<sst xmlns="http://schemas.openxmlformats.org/spreadsheetml/2006/main" count="163" uniqueCount="126">
  <si>
    <t>Comment</t>
  </si>
  <si>
    <t>Description</t>
  </si>
  <si>
    <t>Designator</t>
  </si>
  <si>
    <t>Footprint</t>
  </si>
  <si>
    <t>LibRef</t>
  </si>
  <si>
    <t>Quantity</t>
  </si>
  <si>
    <t>M3</t>
  </si>
  <si>
    <t>铜柱孔</t>
  </si>
  <si>
    <t>1, 2, 3, 4</t>
  </si>
  <si>
    <t>M3 125X200</t>
  </si>
  <si>
    <t>贴片电容</t>
  </si>
  <si>
    <t>C1, C3, C4, C5, C6, C7</t>
  </si>
  <si>
    <t>C 0805_L</t>
  </si>
  <si>
    <t>C</t>
  </si>
  <si>
    <t>10nF</t>
  </si>
  <si>
    <t>C2</t>
  </si>
  <si>
    <t>100uF/16V</t>
  </si>
  <si>
    <t>直插电解电容</t>
  </si>
  <si>
    <t>CE1, CE2</t>
  </si>
  <si>
    <t>CAP 3.5*8*11.5 - BK</t>
  </si>
  <si>
    <t>CE</t>
  </si>
  <si>
    <t>贴片钽电容</t>
  </si>
  <si>
    <t>CT1, CT2, CT3, CT4</t>
  </si>
  <si>
    <t>CD A(3216)</t>
  </si>
  <si>
    <t>CT</t>
  </si>
  <si>
    <t>CT5</t>
  </si>
  <si>
    <t>Zener Diode（齐纳）</t>
  </si>
  <si>
    <t>D1</t>
  </si>
  <si>
    <t>SOD-123</t>
  </si>
  <si>
    <t>稳压二极管</t>
  </si>
  <si>
    <t>SS14</t>
  </si>
  <si>
    <t>肖特基二极管</t>
  </si>
  <si>
    <t>D2, D4</t>
  </si>
  <si>
    <t>Zener Diode</t>
  </si>
  <si>
    <t>D3</t>
  </si>
  <si>
    <t>SS54</t>
  </si>
  <si>
    <t>D5</t>
  </si>
  <si>
    <t>SMB</t>
  </si>
  <si>
    <t>自恢复保险丝</t>
  </si>
  <si>
    <t>F1</t>
  </si>
  <si>
    <t>FU 1206</t>
  </si>
  <si>
    <t>FU</t>
  </si>
  <si>
    <t>Header 4X2</t>
  </si>
  <si>
    <t>4*2P接插件</t>
  </si>
  <si>
    <t>JP1, JP2, JP3</t>
  </si>
  <si>
    <t>HDR2.54-LI-2x4P</t>
  </si>
  <si>
    <t>小功率贴片电感</t>
  </si>
  <si>
    <t>L1</t>
  </si>
  <si>
    <t>L-SMD-0630</t>
  </si>
  <si>
    <t>L</t>
  </si>
  <si>
    <t>4.7uH</t>
  </si>
  <si>
    <t>L2</t>
  </si>
  <si>
    <t>HDR-1X3</t>
  </si>
  <si>
    <t>LED</t>
  </si>
  <si>
    <t>HDR2.54-M-LI-3P</t>
  </si>
  <si>
    <t>Header 3</t>
  </si>
  <si>
    <t>红色</t>
  </si>
  <si>
    <t>贴片LED</t>
  </si>
  <si>
    <t>LED1, LED2, LED3</t>
  </si>
  <si>
    <t>LED 0805R</t>
  </si>
  <si>
    <t>LED-SMD</t>
  </si>
  <si>
    <t>3.5*1.3</t>
  </si>
  <si>
    <t>P1</t>
  </si>
  <si>
    <t>DC-005</t>
  </si>
  <si>
    <t>P-DC</t>
  </si>
  <si>
    <t>USB TYPE C 6Pin母座</t>
  </si>
  <si>
    <t>P2</t>
  </si>
  <si>
    <t>USB-C-SMD_10P-P1.00-L6.8-W8.9</t>
  </si>
  <si>
    <t>P沟场效应管</t>
  </si>
  <si>
    <t>Q1</t>
  </si>
  <si>
    <t>TO252 - 3</t>
  </si>
  <si>
    <t>IRF540</t>
  </si>
  <si>
    <t>4.7K</t>
  </si>
  <si>
    <t>贴片电阻</t>
  </si>
  <si>
    <t>R1</t>
  </si>
  <si>
    <t>R 0805_L</t>
  </si>
  <si>
    <t>R</t>
  </si>
  <si>
    <t>1K</t>
  </si>
  <si>
    <t>R2</t>
  </si>
  <si>
    <t>6.8K</t>
  </si>
  <si>
    <t>R3</t>
  </si>
  <si>
    <t>2.2K</t>
  </si>
  <si>
    <t>R4, R5, R11</t>
  </si>
  <si>
    <t>2K</t>
  </si>
  <si>
    <t>R6, R8</t>
  </si>
  <si>
    <t>3.3K</t>
  </si>
  <si>
    <t>R7</t>
  </si>
  <si>
    <t>110K</t>
  </si>
  <si>
    <t>R9</t>
  </si>
  <si>
    <t>R10</t>
  </si>
  <si>
    <t>1路波动开关</t>
  </si>
  <si>
    <t>S1</t>
  </si>
  <si>
    <t>SS-12D10</t>
  </si>
  <si>
    <t>SSW-1P</t>
  </si>
  <si>
    <t>TPS5430</t>
  </si>
  <si>
    <t>DC可调降压</t>
  </si>
  <si>
    <t>U1</t>
  </si>
  <si>
    <t>SOIC-8_EP</t>
  </si>
  <si>
    <t>SPX29302</t>
  </si>
  <si>
    <t>LDO线性稳压芯片</t>
  </si>
  <si>
    <t>U2</t>
  </si>
  <si>
    <t>TO263-5</t>
  </si>
  <si>
    <t>MT3608</t>
  </si>
  <si>
    <t>DC升压芯片</t>
  </si>
  <si>
    <t>U3</t>
  </si>
  <si>
    <t>SOT23-6</t>
  </si>
  <si>
    <t>SMA</t>
    <phoneticPr fontId="1" type="noConversion"/>
  </si>
  <si>
    <t>SMD1206-050-16</t>
    <phoneticPr fontId="1" type="noConversion"/>
  </si>
  <si>
    <t>Header 4X2</t>
    <phoneticPr fontId="1" type="noConversion"/>
  </si>
  <si>
    <t>22uH</t>
    <phoneticPr fontId="1" type="noConversion"/>
  </si>
  <si>
    <t>3P接插件</t>
    <phoneticPr fontId="1" type="noConversion"/>
  </si>
  <si>
    <t>无</t>
    <phoneticPr fontId="1" type="noConversion"/>
  </si>
  <si>
    <t>HY19P03D</t>
    <phoneticPr fontId="1" type="noConversion"/>
  </si>
  <si>
    <t>100nF</t>
    <phoneticPr fontId="1" type="noConversion"/>
  </si>
  <si>
    <t>贴片电容</t>
    <phoneticPr fontId="1" type="noConversion"/>
  </si>
  <si>
    <t>10uF/6.3V</t>
    <phoneticPr fontId="1" type="noConversion"/>
  </si>
  <si>
    <t>22uF/10V</t>
    <phoneticPr fontId="1" type="noConversion"/>
  </si>
  <si>
    <t>BZT52C16</t>
    <phoneticPr fontId="1" type="noConversion"/>
  </si>
  <si>
    <t>SS14</t>
    <phoneticPr fontId="1" type="noConversion"/>
  </si>
  <si>
    <t>BZT52B5V1</t>
    <phoneticPr fontId="1" type="noConversion"/>
  </si>
  <si>
    <t>低压电源接口</t>
    <phoneticPr fontId="1" type="noConversion"/>
  </si>
  <si>
    <t>SS-12D10</t>
    <phoneticPr fontId="1" type="noConversion"/>
  </si>
  <si>
    <t>SPX29302</t>
    <phoneticPr fontId="1" type="noConversion"/>
  </si>
  <si>
    <t>MT3608</t>
    <phoneticPr fontId="1" type="noConversion"/>
  </si>
  <si>
    <t>15K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</si>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</sst>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2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3220-990E-4477-A37D-89F229F737BE}">
  <dimension ref="A1:I33"/>
  <sheetViews>
    <sheetView tabSelected="1" topLeftCell="A9" zoomScale="115" zoomScaleNormal="115" workbookViewId="0">
      <selection activeCell="K15" sqref="K15"/>
    </sheetView>
  </sheetViews>
  <sheetFormatPr defaultRowHeight="14" x14ac:dyDescent="0.3"/>
  <cols>
    <col min="1" max="6" width="17.3320312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</v>
      </c>
      <c r="G2" s="5" t="s">
        <v>111</v>
      </c>
    </row>
    <row r="3" spans="1:9" x14ac:dyDescent="0.3">
      <c r="A3" s="2" t="s">
        <v>113</v>
      </c>
      <c r="B3" s="2" t="s">
        <v>114</v>
      </c>
      <c r="C3" s="2" t="s">
        <v>11</v>
      </c>
      <c r="D3" s="2" t="s">
        <v>12</v>
      </c>
      <c r="E3" s="2" t="s">
        <v>13</v>
      </c>
      <c r="F3" s="1">
        <v>6</v>
      </c>
      <c r="G3" s="5" t="s">
        <v>125</v>
      </c>
      <c r="H3">
        <v>1</v>
      </c>
      <c r="I3" s="6">
        <v>9.5</v>
      </c>
    </row>
    <row r="4" spans="1:9" x14ac:dyDescent="0.3">
      <c r="A4" s="2" t="s">
        <v>14</v>
      </c>
      <c r="B4" s="2" t="s">
        <v>10</v>
      </c>
      <c r="C4" s="2" t="s">
        <v>15</v>
      </c>
      <c r="D4" s="2" t="s">
        <v>12</v>
      </c>
      <c r="E4" s="2" t="s">
        <v>13</v>
      </c>
      <c r="F4" s="1">
        <v>1</v>
      </c>
      <c r="H4">
        <v>1</v>
      </c>
      <c r="I4" s="6"/>
    </row>
    <row r="5" spans="1:9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2</v>
      </c>
      <c r="H5">
        <v>1</v>
      </c>
      <c r="I5">
        <v>5</v>
      </c>
    </row>
    <row r="6" spans="1:9" x14ac:dyDescent="0.3">
      <c r="A6" s="2" t="s">
        <v>116</v>
      </c>
      <c r="B6" s="2" t="s">
        <v>21</v>
      </c>
      <c r="C6" s="2" t="s">
        <v>22</v>
      </c>
      <c r="D6" s="2" t="s">
        <v>23</v>
      </c>
      <c r="E6" s="2" t="s">
        <v>24</v>
      </c>
      <c r="F6" s="1">
        <v>4</v>
      </c>
      <c r="H6">
        <v>1</v>
      </c>
      <c r="I6">
        <v>3.6</v>
      </c>
    </row>
    <row r="7" spans="1:9" x14ac:dyDescent="0.3">
      <c r="A7" s="2" t="s">
        <v>115</v>
      </c>
      <c r="B7" s="2" t="s">
        <v>21</v>
      </c>
      <c r="C7" s="2" t="s">
        <v>25</v>
      </c>
      <c r="D7" s="2" t="s">
        <v>23</v>
      </c>
      <c r="E7" s="2" t="s">
        <v>24</v>
      </c>
      <c r="F7" s="1">
        <v>1</v>
      </c>
      <c r="H7">
        <v>1</v>
      </c>
      <c r="I7">
        <v>3</v>
      </c>
    </row>
    <row r="8" spans="1:9" x14ac:dyDescent="0.3">
      <c r="A8" s="2" t="s">
        <v>117</v>
      </c>
      <c r="B8" s="2" t="s">
        <v>26</v>
      </c>
      <c r="C8" s="2" t="s">
        <v>27</v>
      </c>
      <c r="D8" s="2" t="s">
        <v>28</v>
      </c>
      <c r="E8" s="2" t="s">
        <v>29</v>
      </c>
      <c r="F8" s="1">
        <v>1</v>
      </c>
      <c r="H8">
        <v>1</v>
      </c>
      <c r="I8">
        <f>0.11*3</f>
        <v>0.33</v>
      </c>
    </row>
    <row r="9" spans="1:9" x14ac:dyDescent="0.3">
      <c r="A9" s="2" t="s">
        <v>118</v>
      </c>
      <c r="B9" s="2" t="s">
        <v>31</v>
      </c>
      <c r="C9" s="2" t="s">
        <v>32</v>
      </c>
      <c r="D9" s="2" t="s">
        <v>106</v>
      </c>
      <c r="E9" s="2" t="s">
        <v>30</v>
      </c>
      <c r="F9" s="1">
        <v>2</v>
      </c>
      <c r="H9">
        <v>1</v>
      </c>
      <c r="I9">
        <v>3</v>
      </c>
    </row>
    <row r="10" spans="1:9" x14ac:dyDescent="0.3">
      <c r="A10" s="2" t="s">
        <v>119</v>
      </c>
      <c r="B10" s="2" t="s">
        <v>33</v>
      </c>
      <c r="C10" s="2" t="s">
        <v>34</v>
      </c>
      <c r="D10" s="2" t="s">
        <v>28</v>
      </c>
      <c r="E10" s="2" t="s">
        <v>29</v>
      </c>
      <c r="F10" s="1">
        <v>1</v>
      </c>
      <c r="H10">
        <v>1</v>
      </c>
      <c r="I10">
        <f>0.11*3</f>
        <v>0.33</v>
      </c>
    </row>
    <row r="11" spans="1:9" x14ac:dyDescent="0.3">
      <c r="A11" s="2" t="s">
        <v>35</v>
      </c>
      <c r="B11" s="2" t="s">
        <v>31</v>
      </c>
      <c r="C11" s="2" t="s">
        <v>36</v>
      </c>
      <c r="D11" s="2" t="s">
        <v>37</v>
      </c>
      <c r="E11" s="2" t="s">
        <v>35</v>
      </c>
      <c r="F11" s="1">
        <v>1</v>
      </c>
      <c r="H11">
        <v>1</v>
      </c>
      <c r="I11">
        <v>3.4</v>
      </c>
    </row>
    <row r="12" spans="1:9" x14ac:dyDescent="0.3">
      <c r="A12" s="2" t="s">
        <v>107</v>
      </c>
      <c r="B12" s="2" t="s">
        <v>38</v>
      </c>
      <c r="C12" s="2" t="s">
        <v>39</v>
      </c>
      <c r="D12" s="2" t="s">
        <v>40</v>
      </c>
      <c r="E12" s="2" t="s">
        <v>41</v>
      </c>
      <c r="F12" s="1">
        <v>1</v>
      </c>
      <c r="H12">
        <v>1</v>
      </c>
      <c r="I12">
        <v>3.86</v>
      </c>
    </row>
    <row r="13" spans="1:9" x14ac:dyDescent="0.3">
      <c r="A13" s="2" t="s">
        <v>108</v>
      </c>
      <c r="B13" s="2" t="s">
        <v>43</v>
      </c>
      <c r="C13" s="2" t="s">
        <v>44</v>
      </c>
      <c r="D13" s="2" t="s">
        <v>45</v>
      </c>
      <c r="E13" s="2" t="s">
        <v>42</v>
      </c>
      <c r="F13" s="1">
        <v>3</v>
      </c>
      <c r="H13">
        <v>1</v>
      </c>
      <c r="I13">
        <v>2</v>
      </c>
    </row>
    <row r="14" spans="1:9" x14ac:dyDescent="0.3">
      <c r="A14" s="2" t="s">
        <v>109</v>
      </c>
      <c r="B14" s="2" t="s">
        <v>46</v>
      </c>
      <c r="C14" s="2" t="s">
        <v>47</v>
      </c>
      <c r="D14" s="2" t="s">
        <v>48</v>
      </c>
      <c r="E14" s="2" t="s">
        <v>49</v>
      </c>
      <c r="F14" s="1">
        <v>1</v>
      </c>
      <c r="H14">
        <v>1</v>
      </c>
      <c r="I14">
        <v>2.56</v>
      </c>
    </row>
    <row r="15" spans="1:9" x14ac:dyDescent="0.3">
      <c r="A15" s="2" t="s">
        <v>50</v>
      </c>
      <c r="B15" s="2" t="s">
        <v>46</v>
      </c>
      <c r="C15" s="2" t="s">
        <v>51</v>
      </c>
      <c r="D15" s="2" t="s">
        <v>48</v>
      </c>
      <c r="E15" s="2" t="s">
        <v>49</v>
      </c>
      <c r="F15" s="1">
        <v>1</v>
      </c>
      <c r="H15">
        <v>1</v>
      </c>
      <c r="I15">
        <v>2.56</v>
      </c>
    </row>
    <row r="16" spans="1:9" x14ac:dyDescent="0.3">
      <c r="A16" s="2" t="s">
        <v>52</v>
      </c>
      <c r="B16" s="2" t="s">
        <v>110</v>
      </c>
      <c r="C16" s="2" t="s">
        <v>53</v>
      </c>
      <c r="D16" s="2" t="s">
        <v>54</v>
      </c>
      <c r="E16" s="2" t="s">
        <v>55</v>
      </c>
      <c r="F16" s="1">
        <v>1</v>
      </c>
      <c r="G16" s="5" t="s">
        <v>111</v>
      </c>
    </row>
    <row r="17" spans="1:9" x14ac:dyDescent="0.3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1">
        <v>3</v>
      </c>
      <c r="H17">
        <v>1</v>
      </c>
      <c r="I17">
        <v>3.8</v>
      </c>
    </row>
    <row r="18" spans="1:9" x14ac:dyDescent="0.3">
      <c r="A18" s="2" t="s">
        <v>61</v>
      </c>
      <c r="B18" s="2" t="s">
        <v>120</v>
      </c>
      <c r="C18" s="2" t="s">
        <v>62</v>
      </c>
      <c r="D18" s="2" t="s">
        <v>63</v>
      </c>
      <c r="E18" s="2" t="s">
        <v>64</v>
      </c>
      <c r="F18" s="1">
        <v>1</v>
      </c>
      <c r="H18">
        <v>1</v>
      </c>
      <c r="I18">
        <v>2.0299999999999998</v>
      </c>
    </row>
    <row r="19" spans="1:9" x14ac:dyDescent="0.3">
      <c r="A19" s="2" t="s">
        <v>65</v>
      </c>
      <c r="B19" s="1"/>
      <c r="C19" s="2" t="s">
        <v>66</v>
      </c>
      <c r="D19" s="2" t="s">
        <v>67</v>
      </c>
      <c r="E19" s="2" t="s">
        <v>65</v>
      </c>
      <c r="F19" s="1">
        <v>1</v>
      </c>
      <c r="H19">
        <v>1</v>
      </c>
      <c r="I19">
        <v>2.5</v>
      </c>
    </row>
    <row r="20" spans="1:9" x14ac:dyDescent="0.3">
      <c r="A20" s="2" t="s">
        <v>112</v>
      </c>
      <c r="B20" s="2" t="s">
        <v>68</v>
      </c>
      <c r="C20" s="2" t="s">
        <v>69</v>
      </c>
      <c r="D20" s="2" t="s">
        <v>70</v>
      </c>
      <c r="E20" s="2" t="s">
        <v>71</v>
      </c>
      <c r="F20" s="1">
        <v>1</v>
      </c>
      <c r="H20">
        <v>1</v>
      </c>
      <c r="I20">
        <f>0.85*3</f>
        <v>2.5499999999999998</v>
      </c>
    </row>
    <row r="21" spans="1:9" x14ac:dyDescent="0.3">
      <c r="A21" s="2" t="s">
        <v>72</v>
      </c>
      <c r="B21" s="2" t="s">
        <v>73</v>
      </c>
      <c r="C21" s="2" t="s">
        <v>74</v>
      </c>
      <c r="D21" s="2" t="s">
        <v>75</v>
      </c>
      <c r="E21" s="2" t="s">
        <v>76</v>
      </c>
      <c r="F21" s="1">
        <v>1</v>
      </c>
      <c r="H21">
        <v>1</v>
      </c>
      <c r="I21" s="6">
        <v>5.52</v>
      </c>
    </row>
    <row r="22" spans="1:9" x14ac:dyDescent="0.3">
      <c r="A22" s="2" t="s">
        <v>77</v>
      </c>
      <c r="B22" s="2" t="s">
        <v>73</v>
      </c>
      <c r="C22" s="2" t="s">
        <v>78</v>
      </c>
      <c r="D22" s="2" t="s">
        <v>75</v>
      </c>
      <c r="E22" s="2" t="s">
        <v>76</v>
      </c>
      <c r="F22" s="1">
        <v>1</v>
      </c>
      <c r="H22">
        <v>1</v>
      </c>
      <c r="I22" s="6"/>
    </row>
    <row r="23" spans="1:9" x14ac:dyDescent="0.3">
      <c r="A23" s="2" t="s">
        <v>79</v>
      </c>
      <c r="B23" s="2" t="s">
        <v>73</v>
      </c>
      <c r="C23" s="2" t="s">
        <v>80</v>
      </c>
      <c r="D23" s="2" t="s">
        <v>75</v>
      </c>
      <c r="E23" s="2" t="s">
        <v>76</v>
      </c>
      <c r="F23" s="1">
        <v>1</v>
      </c>
      <c r="H23">
        <v>1</v>
      </c>
      <c r="I23" s="6"/>
    </row>
    <row r="24" spans="1:9" x14ac:dyDescent="0.3">
      <c r="A24" s="2" t="s">
        <v>81</v>
      </c>
      <c r="B24" s="2" t="s">
        <v>73</v>
      </c>
      <c r="C24" s="2" t="s">
        <v>82</v>
      </c>
      <c r="D24" s="2" t="s">
        <v>75</v>
      </c>
      <c r="E24" s="2" t="s">
        <v>76</v>
      </c>
      <c r="F24" s="1">
        <v>3</v>
      </c>
      <c r="H24">
        <v>1</v>
      </c>
      <c r="I24" s="6"/>
    </row>
    <row r="25" spans="1:9" x14ac:dyDescent="0.3">
      <c r="A25" s="2" t="s">
        <v>83</v>
      </c>
      <c r="B25" s="2" t="s">
        <v>73</v>
      </c>
      <c r="C25" s="2" t="s">
        <v>84</v>
      </c>
      <c r="D25" s="2" t="s">
        <v>75</v>
      </c>
      <c r="E25" s="2" t="s">
        <v>76</v>
      </c>
      <c r="F25" s="1">
        <v>2</v>
      </c>
      <c r="H25">
        <v>1</v>
      </c>
      <c r="I25" s="6"/>
    </row>
    <row r="26" spans="1:9" x14ac:dyDescent="0.3">
      <c r="A26" s="2" t="s">
        <v>85</v>
      </c>
      <c r="B26" s="2" t="s">
        <v>73</v>
      </c>
      <c r="C26" s="2" t="s">
        <v>86</v>
      </c>
      <c r="D26" s="2" t="s">
        <v>75</v>
      </c>
      <c r="E26" s="2" t="s">
        <v>76</v>
      </c>
      <c r="F26" s="1">
        <v>1</v>
      </c>
      <c r="H26">
        <v>1</v>
      </c>
      <c r="I26" s="6"/>
    </row>
    <row r="27" spans="1:9" x14ac:dyDescent="0.3">
      <c r="A27" s="2" t="s">
        <v>87</v>
      </c>
      <c r="B27" s="2" t="s">
        <v>73</v>
      </c>
      <c r="C27" s="2" t="s">
        <v>88</v>
      </c>
      <c r="D27" s="2" t="s">
        <v>75</v>
      </c>
      <c r="E27" s="2" t="s">
        <v>76</v>
      </c>
      <c r="F27" s="1">
        <v>1</v>
      </c>
      <c r="H27">
        <v>1</v>
      </c>
      <c r="I27" s="6"/>
    </row>
    <row r="28" spans="1:9" x14ac:dyDescent="0.3">
      <c r="A28" s="2" t="s">
        <v>124</v>
      </c>
      <c r="B28" s="2" t="s">
        <v>73</v>
      </c>
      <c r="C28" s="2" t="s">
        <v>89</v>
      </c>
      <c r="D28" s="2" t="s">
        <v>75</v>
      </c>
      <c r="E28" s="2" t="s">
        <v>76</v>
      </c>
      <c r="F28" s="1">
        <v>1</v>
      </c>
      <c r="H28">
        <v>1</v>
      </c>
      <c r="I28" s="6"/>
    </row>
    <row r="29" spans="1:9" x14ac:dyDescent="0.3">
      <c r="A29" s="2" t="s">
        <v>121</v>
      </c>
      <c r="B29" s="2" t="s">
        <v>90</v>
      </c>
      <c r="C29" s="2" t="s">
        <v>91</v>
      </c>
      <c r="D29" s="2" t="s">
        <v>92</v>
      </c>
      <c r="E29" s="2" t="s">
        <v>93</v>
      </c>
      <c r="F29" s="1">
        <v>1</v>
      </c>
      <c r="H29">
        <v>1</v>
      </c>
      <c r="I29">
        <v>1.74</v>
      </c>
    </row>
    <row r="30" spans="1:9" x14ac:dyDescent="0.3">
      <c r="A30" s="2" t="s">
        <v>94</v>
      </c>
      <c r="B30" s="2" t="s">
        <v>95</v>
      </c>
      <c r="C30" s="2" t="s">
        <v>96</v>
      </c>
      <c r="D30" s="2" t="s">
        <v>97</v>
      </c>
      <c r="E30" s="2" t="s">
        <v>94</v>
      </c>
      <c r="F30" s="1">
        <v>1</v>
      </c>
      <c r="H30">
        <v>1</v>
      </c>
      <c r="I30">
        <f>2.58*3</f>
        <v>7.74</v>
      </c>
    </row>
    <row r="31" spans="1:9" x14ac:dyDescent="0.3">
      <c r="A31" s="2" t="s">
        <v>122</v>
      </c>
      <c r="B31" s="2" t="s">
        <v>99</v>
      </c>
      <c r="C31" s="2" t="s">
        <v>100</v>
      </c>
      <c r="D31" s="2" t="s">
        <v>101</v>
      </c>
      <c r="E31" s="2" t="s">
        <v>98</v>
      </c>
      <c r="F31" s="1">
        <v>1</v>
      </c>
      <c r="H31">
        <v>1</v>
      </c>
      <c r="I31">
        <f>4.29*2</f>
        <v>8.58</v>
      </c>
    </row>
    <row r="32" spans="1:9" x14ac:dyDescent="0.3">
      <c r="A32" s="2" t="s">
        <v>123</v>
      </c>
      <c r="B32" s="2" t="s">
        <v>103</v>
      </c>
      <c r="C32" s="2" t="s">
        <v>104</v>
      </c>
      <c r="D32" s="2" t="s">
        <v>105</v>
      </c>
      <c r="E32" s="2" t="s">
        <v>102</v>
      </c>
      <c r="F32" s="1">
        <v>1</v>
      </c>
      <c r="H32">
        <v>1</v>
      </c>
      <c r="I32">
        <f>0.25*3</f>
        <v>0.75</v>
      </c>
    </row>
    <row r="33" spans="9:9" x14ac:dyDescent="0.3">
      <c r="I33">
        <f>SUM(I3:I32)</f>
        <v>74.349999999999994</v>
      </c>
    </row>
  </sheetData>
  <mergeCells count="2">
    <mergeCell ref="I3:I4"/>
    <mergeCell ref="I21:I2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Power supply design_1</vt:lpstr>
      <vt:lpstr>'Power supply design_1'!Print_Titles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Sensce</dc:creator>
  <cp:lastModifiedBy>Sensce</cp:lastModifiedBy>
  <dcterms:created xsi:type="dcterms:W3CDTF">2026-06-03T09:56:20Z</dcterms:created>
  <dcterms:modified xsi:type="dcterms:W3CDTF">2026-06-03T15:29:00Z</dcterms:modified>
</cp:coreProperties>
</file>